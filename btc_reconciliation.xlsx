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6" customWidth="1" min="3" max="3"/>
    <col width="12" customWidth="1" min="4" max="4"/>
    <col width="12" customWidth="1" min="5" max="5"/>
    <col width="9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trade_id</t>
        </is>
      </c>
      <c r="B1" s="1" t="inlineStr">
        <is>
          <t>timestamp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price_usd</t>
        </is>
      </c>
      <c r="F1" s="1" t="inlineStr">
        <is>
          <t>fee_usd</t>
        </is>
      </c>
      <c r="G1" s="1" t="inlineStr">
        <is>
          <t>gross value</t>
        </is>
      </c>
      <c r="H1" s="1" t="inlineStr">
        <is>
          <t>qty after</t>
        </is>
      </c>
      <c r="I1" s="1" t="inlineStr">
        <is>
          <t>cost basis after</t>
        </is>
      </c>
      <c r="J1" s="1" t="inlineStr">
        <is>
          <t>avg cost after</t>
        </is>
      </c>
      <c r="K1" s="1" t="inlineStr">
        <is>
          <t>cost removed</t>
        </is>
      </c>
      <c r="L1" s="1" t="inlineStr">
        <is>
          <t>realized P&amp;L</t>
        </is>
      </c>
    </row>
    <row r="2">
      <c r="A2" t="inlineStr">
        <is>
          <t>OPENING</t>
        </is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n">
        <v>0</v>
      </c>
      <c r="K2" t="inlineStr"/>
      <c r="L2" t="inlineStr"/>
    </row>
    <row r="3">
      <c r="A3" t="inlineStr">
        <is>
          <t>TRD-0001</t>
        </is>
      </c>
      <c r="B3" t="inlineStr">
        <is>
          <t>2025-10-01T09:00:00Z</t>
        </is>
      </c>
      <c r="C3" t="inlineStr">
        <is>
          <t>BUY</t>
        </is>
      </c>
      <c r="D3" t="n">
        <v>0.03141403</v>
      </c>
      <c r="E3" t="n">
        <v>105507.74</v>
      </c>
      <c r="F3" t="n">
        <v>3.31</v>
      </c>
      <c r="G3">
        <f>D3*E3</f>
        <v/>
      </c>
      <c r="H3">
        <f>IF(C3="BUY",H2+D3,H2-D3)</f>
        <v/>
      </c>
      <c r="I3">
        <f>IF(C3="BUY",I2+G3+F3,IF(ROUND(H3,10)=0,0,I2-K3))</f>
        <v/>
      </c>
      <c r="J3">
        <f>IF(ROUND(H3,10)=0,0,I3/H3)</f>
        <v/>
      </c>
      <c r="K3">
        <f>IF(C3="SELL",J2*D3,0)</f>
        <v/>
      </c>
      <c r="L3">
        <f>IF(C3="SELL",G3-F3-K3,0)</f>
        <v/>
      </c>
    </row>
    <row r="4">
      <c r="A4" t="inlineStr">
        <is>
          <t>TRD-0006</t>
        </is>
      </c>
      <c r="B4" t="inlineStr">
        <is>
          <t>2025-10-04T22:00:00Z</t>
        </is>
      </c>
      <c r="C4" t="inlineStr">
        <is>
          <t>BUY</t>
        </is>
      </c>
      <c r="D4" t="n">
        <v>0.03986831</v>
      </c>
      <c r="E4" t="n">
        <v>106867.95</v>
      </c>
      <c r="F4" t="n">
        <v>25.56</v>
      </c>
      <c r="G4">
        <f>D4*E4</f>
        <v/>
      </c>
      <c r="H4">
        <f>IF(C4="BUY",H3+D4,H3-D4)</f>
        <v/>
      </c>
      <c r="I4">
        <f>IF(C4="BUY",I3+G4+F4,IF(ROUND(H4,10)=0,0,I3-K4))</f>
        <v/>
      </c>
      <c r="J4">
        <f>IF(ROUND(H4,10)=0,0,I4/H4)</f>
        <v/>
      </c>
      <c r="K4">
        <f>IF(C4="SELL",J3*D4,0)</f>
        <v/>
      </c>
      <c r="L4">
        <f>IF(C4="SELL",G4-F4-K4,0)</f>
        <v/>
      </c>
    </row>
    <row r="5">
      <c r="A5" t="inlineStr">
        <is>
          <t>TRD-0011</t>
        </is>
      </c>
      <c r="B5" t="inlineStr">
        <is>
          <t>2025-10-10T09:03:00Z</t>
        </is>
      </c>
      <c r="C5" t="inlineStr">
        <is>
          <t>BUY</t>
        </is>
      </c>
      <c r="D5" t="n">
        <v>0.02674737</v>
      </c>
      <c r="E5" t="n">
        <v>107739.91</v>
      </c>
      <c r="F5" t="n">
        <v>2.88</v>
      </c>
      <c r="G5">
        <f>D5*E5</f>
        <v/>
      </c>
      <c r="H5">
        <f>IF(C5="BUY",H4+D5,H4-D5)</f>
        <v/>
      </c>
      <c r="I5">
        <f>IF(C5="BUY",I4+G5+F5,IF(ROUND(H5,10)=0,0,I4-K5))</f>
        <v/>
      </c>
      <c r="J5">
        <f>IF(ROUND(H5,10)=0,0,I5/H5)</f>
        <v/>
      </c>
      <c r="K5">
        <f>IF(C5="SELL",J4*D5,0)</f>
        <v/>
      </c>
      <c r="L5">
        <f>IF(C5="SELL",G5-F5-K5,0)</f>
        <v/>
      </c>
    </row>
    <row r="6">
      <c r="A6" t="inlineStr">
        <is>
          <t>TRD-0016</t>
        </is>
      </c>
      <c r="B6" t="inlineStr">
        <is>
          <t>2025-10-13T22:08:00Z</t>
        </is>
      </c>
      <c r="C6" t="inlineStr">
        <is>
          <t>BUY</t>
        </is>
      </c>
      <c r="D6" t="n">
        <v>0.04677948</v>
      </c>
      <c r="E6" t="n">
        <v>108418.13</v>
      </c>
      <c r="F6" t="n">
        <v>30.43</v>
      </c>
      <c r="G6">
        <f>D6*E6</f>
        <v/>
      </c>
      <c r="H6">
        <f>IF(C6="BUY",H5+D6,H5-D6)</f>
        <v/>
      </c>
      <c r="I6">
        <f>IF(C6="BUY",I5+G6+F6,IF(ROUND(H6,10)=0,0,I5-K6))</f>
        <v/>
      </c>
      <c r="J6">
        <f>IF(ROUND(H6,10)=0,0,I6/H6)</f>
        <v/>
      </c>
      <c r="K6">
        <f>IF(C6="SELL",J5*D6,0)</f>
        <v/>
      </c>
      <c r="L6">
        <f>IF(C6="SELL",G6-F6-K6,0)</f>
        <v/>
      </c>
    </row>
    <row r="7">
      <c r="A7" t="inlineStr">
        <is>
          <t>TRD-0021</t>
        </is>
      </c>
      <c r="B7" t="inlineStr">
        <is>
          <t>2025-10-19T09:06:00Z</t>
        </is>
      </c>
      <c r="C7" t="inlineStr">
        <is>
          <t>SELL</t>
        </is>
      </c>
      <c r="D7" t="n">
        <v>0.01628519</v>
      </c>
      <c r="E7" t="n">
        <v>108819.27</v>
      </c>
      <c r="F7" t="n">
        <v>1.77</v>
      </c>
      <c r="G7">
        <f>D7*E7</f>
        <v/>
      </c>
      <c r="H7">
        <f>IF(C7="BUY",H6+D7,H6-D7)</f>
        <v/>
      </c>
      <c r="I7">
        <f>IF(C7="BUY",I6+G7+F7,IF(ROUND(H7,10)=0,0,I6-K7))</f>
        <v/>
      </c>
      <c r="J7">
        <f>IF(ROUND(H7,10)=0,0,I7/H7)</f>
        <v/>
      </c>
      <c r="K7">
        <f>IF(C7="SELL",J6*D7,0)</f>
        <v/>
      </c>
      <c r="L7">
        <f>IF(C7="SELL",G7-F7-K7,0)</f>
        <v/>
      </c>
    </row>
    <row r="8">
      <c r="A8" t="inlineStr">
        <is>
          <t>TRD-0026</t>
        </is>
      </c>
      <c r="B8" t="inlineStr">
        <is>
          <t>2025-10-22T22:16:00Z</t>
        </is>
      </c>
      <c r="C8" t="inlineStr">
        <is>
          <t>SELL</t>
        </is>
      </c>
      <c r="D8" t="n">
        <v>0.0467898</v>
      </c>
      <c r="E8" t="n">
        <v>109551.86</v>
      </c>
      <c r="F8" t="n">
        <v>30.76</v>
      </c>
      <c r="G8">
        <f>D8*E8</f>
        <v/>
      </c>
      <c r="H8">
        <f>IF(C8="BUY",H7+D8,H7-D8)</f>
        <v/>
      </c>
      <c r="I8">
        <f>IF(C8="BUY",I7+G8+F8,IF(ROUND(H8,10)=0,0,I7-K8))</f>
        <v/>
      </c>
      <c r="J8">
        <f>IF(ROUND(H8,10)=0,0,I8/H8)</f>
        <v/>
      </c>
      <c r="K8">
        <f>IF(C8="SELL",J7*D8,0)</f>
        <v/>
      </c>
      <c r="L8">
        <f>IF(C8="SELL",G8-F8-K8,0)</f>
        <v/>
      </c>
    </row>
    <row r="9">
      <c r="A9" t="inlineStr">
        <is>
          <t>TRD-0031</t>
        </is>
      </c>
      <c r="B9" t="inlineStr">
        <is>
          <t>2025-10-28T09:09:00Z</t>
        </is>
      </c>
      <c r="C9" t="inlineStr">
        <is>
          <t>BUY</t>
        </is>
      </c>
      <c r="D9" t="n">
        <v>0.04272722</v>
      </c>
      <c r="E9" t="n">
        <v>110349.82</v>
      </c>
      <c r="F9" t="n">
        <v>4.71</v>
      </c>
      <c r="G9">
        <f>D9*E9</f>
        <v/>
      </c>
      <c r="H9">
        <f>IF(C9="BUY",H8+D9,H8-D9)</f>
        <v/>
      </c>
      <c r="I9">
        <f>IF(C9="BUY",I8+G9+F9,IF(ROUND(H9,10)=0,0,I8-K9))</f>
        <v/>
      </c>
      <c r="J9">
        <f>IF(ROUND(H9,10)=0,0,I9/H9)</f>
        <v/>
      </c>
      <c r="K9">
        <f>IF(C9="SELL",J8*D9,0)</f>
        <v/>
      </c>
      <c r="L9">
        <f>IF(C9="SELL",G9-F9-K9,0)</f>
        <v/>
      </c>
    </row>
    <row r="10">
      <c r="A10" t="inlineStr">
        <is>
          <t>TRD-0036</t>
        </is>
      </c>
      <c r="B10" t="inlineStr">
        <is>
          <t>2025-10-31T22:24:00Z</t>
        </is>
      </c>
      <c r="C10" t="inlineStr">
        <is>
          <t>BUY</t>
        </is>
      </c>
      <c r="D10" t="n">
        <v>0.04497629</v>
      </c>
      <c r="E10" t="n">
        <v>111337.82</v>
      </c>
      <c r="F10" t="n">
        <v>30.05</v>
      </c>
      <c r="G10">
        <f>D10*E10</f>
        <v/>
      </c>
      <c r="H10">
        <f>IF(C10="BUY",H9+D10,H9-D10)</f>
        <v/>
      </c>
      <c r="I10">
        <f>IF(C10="BUY",I9+G10+F10,IF(ROUND(H10,10)=0,0,I9-K10))</f>
        <v/>
      </c>
      <c r="J10">
        <f>IF(ROUND(H10,10)=0,0,I10/H10)</f>
        <v/>
      </c>
      <c r="K10">
        <f>IF(C10="SELL",J9*D10,0)</f>
        <v/>
      </c>
      <c r="L10">
        <f>IF(C10="SELL",G10-F10-K10,0)</f>
        <v/>
      </c>
    </row>
    <row r="11">
      <c r="A11" t="inlineStr">
        <is>
          <t>TRD-0041</t>
        </is>
      </c>
      <c r="B11" t="inlineStr">
        <is>
          <t>2025-11-06T09:12:00Z</t>
        </is>
      </c>
      <c r="C11" t="inlineStr">
        <is>
          <t>BUY</t>
        </is>
      </c>
      <c r="D11" t="n">
        <v>0.03982886</v>
      </c>
      <c r="E11" t="n">
        <v>112140.36</v>
      </c>
      <c r="F11" t="n">
        <v>4.47</v>
      </c>
      <c r="G11">
        <f>D11*E11</f>
        <v/>
      </c>
      <c r="H11">
        <f>IF(C11="BUY",H10+D11,H10-D11)</f>
        <v/>
      </c>
      <c r="I11">
        <f>IF(C11="BUY",I10+G11+F11,IF(ROUND(H11,10)=0,0,I10-K11))</f>
        <v/>
      </c>
      <c r="J11">
        <f>IF(ROUND(H11,10)=0,0,I11/H11)</f>
        <v/>
      </c>
      <c r="K11">
        <f>IF(C11="SELL",J10*D11,0)</f>
        <v/>
      </c>
      <c r="L11">
        <f>IF(C11="SELL",G11-F11-K11,0)</f>
        <v/>
      </c>
    </row>
    <row r="12">
      <c r="A12" t="inlineStr">
        <is>
          <t>TRD-0046</t>
        </is>
      </c>
      <c r="B12" t="inlineStr">
        <is>
          <t>2025-11-09T22:32:00Z</t>
        </is>
      </c>
      <c r="C12" t="inlineStr">
        <is>
          <t>SELL</t>
        </is>
      </c>
      <c r="D12" t="n">
        <v>0.04581051</v>
      </c>
      <c r="E12" t="n">
        <v>112723.72</v>
      </c>
      <c r="F12" t="n">
        <v>30.98</v>
      </c>
      <c r="G12">
        <f>D12*E12</f>
        <v/>
      </c>
      <c r="H12">
        <f>IF(C12="BUY",H11+D12,H11-D12)</f>
        <v/>
      </c>
      <c r="I12">
        <f>IF(C12="BUY",I11+G12+F12,IF(ROUND(H12,10)=0,0,I11-K12))</f>
        <v/>
      </c>
      <c r="J12">
        <f>IF(ROUND(H12,10)=0,0,I12/H12)</f>
        <v/>
      </c>
      <c r="K12">
        <f>IF(C12="SELL",J11*D12,0)</f>
        <v/>
      </c>
      <c r="L12">
        <f>IF(C12="SELL",G12-F12-K12,0)</f>
        <v/>
      </c>
    </row>
    <row r="13">
      <c r="A13" t="inlineStr">
        <is>
          <t>TRD-0051</t>
        </is>
      </c>
      <c r="B13" t="inlineStr">
        <is>
          <t>2025-11-15T09:15:00Z</t>
        </is>
      </c>
      <c r="C13" t="inlineStr">
        <is>
          <t>SELL</t>
        </is>
      </c>
      <c r="D13" t="n">
        <v>0.03608536</v>
      </c>
      <c r="E13" t="n">
        <v>112199.63</v>
      </c>
      <c r="F13" t="n">
        <v>4.05</v>
      </c>
      <c r="G13">
        <f>D13*E13</f>
        <v/>
      </c>
      <c r="H13">
        <f>IF(C13="BUY",H12+D13,H12-D13)</f>
        <v/>
      </c>
      <c r="I13">
        <f>IF(C13="BUY",I12+G13+F13,IF(ROUND(H13,10)=0,0,I12-K13))</f>
        <v/>
      </c>
      <c r="J13">
        <f>IF(ROUND(H13,10)=0,0,I13/H13)</f>
        <v/>
      </c>
      <c r="K13">
        <f>IF(C13="SELL",J12*D13,0)</f>
        <v/>
      </c>
      <c r="L13">
        <f>IF(C13="SELL",G13-F13-K13,0)</f>
        <v/>
      </c>
    </row>
    <row r="14">
      <c r="A14" t="inlineStr">
        <is>
          <t>TRD-0056</t>
        </is>
      </c>
      <c r="B14" t="inlineStr">
        <is>
          <t>2025-11-18T22:40:00Z</t>
        </is>
      </c>
      <c r="C14" t="inlineStr">
        <is>
          <t>BUY</t>
        </is>
      </c>
      <c r="D14" t="n">
        <v>0.03138514</v>
      </c>
      <c r="E14" t="n">
        <v>111543.13</v>
      </c>
      <c r="F14" t="n">
        <v>21</v>
      </c>
      <c r="G14">
        <f>D14*E14</f>
        <v/>
      </c>
      <c r="H14">
        <f>IF(C14="BUY",H13+D14,H13-D14)</f>
        <v/>
      </c>
      <c r="I14">
        <f>IF(C14="BUY",I13+G14+F14,IF(ROUND(H14,10)=0,0,I13-K14))</f>
        <v/>
      </c>
      <c r="J14">
        <f>IF(ROUND(H14,10)=0,0,I14/H14)</f>
        <v/>
      </c>
      <c r="K14">
        <f>IF(C14="SELL",J13*D14,0)</f>
        <v/>
      </c>
      <c r="L14">
        <f>IF(C14="SELL",G14-F14-K14,0)</f>
        <v/>
      </c>
    </row>
    <row r="15">
      <c r="A15" t="inlineStr">
        <is>
          <t>TRD-0061</t>
        </is>
      </c>
      <c r="B15" t="inlineStr">
        <is>
          <t>2025-11-24T09:18:00Z</t>
        </is>
      </c>
      <c r="C15" t="inlineStr">
        <is>
          <t>BUY</t>
        </is>
      </c>
      <c r="D15" t="n">
        <v>0.02264584</v>
      </c>
      <c r="E15" t="n">
        <v>108906.8</v>
      </c>
      <c r="F15" t="n">
        <v>2.47</v>
      </c>
      <c r="G15">
        <f>D15*E15</f>
        <v/>
      </c>
      <c r="H15">
        <f>IF(C15="BUY",H14+D15,H14-D15)</f>
        <v/>
      </c>
      <c r="I15">
        <f>IF(C15="BUY",I14+G15+F15,IF(ROUND(H15,10)=0,0,I14-K15))</f>
        <v/>
      </c>
      <c r="J15">
        <f>IF(ROUND(H15,10)=0,0,I15/H15)</f>
        <v/>
      </c>
      <c r="K15">
        <f>IF(C15="SELL",J14*D15,0)</f>
        <v/>
      </c>
      <c r="L15">
        <f>IF(C15="SELL",G15-F15-K15,0)</f>
        <v/>
      </c>
    </row>
    <row r="16">
      <c r="A16" t="inlineStr">
        <is>
          <t>TRD-0066</t>
        </is>
      </c>
      <c r="B16" t="inlineStr">
        <is>
          <t>2025-11-27T22:01:00Z</t>
        </is>
      </c>
      <c r="C16" t="inlineStr">
        <is>
          <t>BUY</t>
        </is>
      </c>
      <c r="D16" t="n">
        <v>0.01949498</v>
      </c>
      <c r="E16" t="n">
        <v>107016.93</v>
      </c>
      <c r="F16" t="n">
        <v>12.52</v>
      </c>
      <c r="G16">
        <f>D16*E16</f>
        <v/>
      </c>
      <c r="H16">
        <f>IF(C16="BUY",H15+D16,H15-D16)</f>
        <v/>
      </c>
      <c r="I16">
        <f>IF(C16="BUY",I15+G16+F16,IF(ROUND(H16,10)=0,0,I15-K16))</f>
        <v/>
      </c>
      <c r="J16">
        <f>IF(ROUND(H16,10)=0,0,I16/H16)</f>
        <v/>
      </c>
      <c r="K16">
        <f>IF(C16="SELL",J15*D16,0)</f>
        <v/>
      </c>
      <c r="L16">
        <f>IF(C16="SELL",G16-F16-K16,0)</f>
        <v/>
      </c>
    </row>
    <row r="17">
      <c r="A17" t="inlineStr">
        <is>
          <t>TRD-0071</t>
        </is>
      </c>
      <c r="B17" t="inlineStr">
        <is>
          <t>2025-12-03T09:21:00Z</t>
        </is>
      </c>
      <c r="C17" t="inlineStr">
        <is>
          <t>SELL</t>
        </is>
      </c>
      <c r="D17" t="n">
        <v>0.11099277</v>
      </c>
      <c r="E17" t="n">
        <v>103111.52</v>
      </c>
      <c r="F17" t="n">
        <v>11.44</v>
      </c>
      <c r="G17">
        <f>D17*E17</f>
        <v/>
      </c>
      <c r="H17">
        <f>IF(C17="BUY",H16+D17,H16-D17)</f>
        <v/>
      </c>
      <c r="I17">
        <f>IF(C17="BUY",I16+G17+F17,IF(ROUND(H17,10)=0,0,I16-K17))</f>
        <v/>
      </c>
      <c r="J17">
        <f>IF(ROUND(H17,10)=0,0,I17/H17)</f>
        <v/>
      </c>
      <c r="K17">
        <f>IF(C17="SELL",J16*D17,0)</f>
        <v/>
      </c>
      <c r="L17">
        <f>IF(C17="SELL",G17-F17-K17,0)</f>
        <v/>
      </c>
    </row>
    <row r="18">
      <c r="A18" t="inlineStr">
        <is>
          <t>TRD-0076</t>
        </is>
      </c>
      <c r="B18" t="inlineStr">
        <is>
          <t>2025-12-06T22:09:00Z</t>
        </is>
      </c>
      <c r="C18" t="inlineStr">
        <is>
          <t>SELL</t>
        </is>
      </c>
      <c r="D18" t="n">
        <v>0.08990389</v>
      </c>
      <c r="E18" t="n">
        <v>101030.2</v>
      </c>
      <c r="F18" t="n">
        <v>54.5</v>
      </c>
      <c r="G18">
        <f>D18*E18</f>
        <v/>
      </c>
      <c r="H18">
        <f>IF(C18="BUY",H17+D18,H17-D18)</f>
        <v/>
      </c>
      <c r="I18">
        <f>IF(C18="BUY",I17+G18+F18,IF(ROUND(H18,10)=0,0,I17-K18))</f>
        <v/>
      </c>
      <c r="J18">
        <f>IF(ROUND(H18,10)=0,0,I18/H18)</f>
        <v/>
      </c>
      <c r="K18">
        <f>IF(C18="SELL",J17*D18,0)</f>
        <v/>
      </c>
      <c r="L18">
        <f>IF(C18="SELL",G18-F18-K18,0)</f>
        <v/>
      </c>
    </row>
    <row r="19">
      <c r="A19" t="inlineStr">
        <is>
          <t>TRD-0081</t>
        </is>
      </c>
      <c r="B19" t="inlineStr">
        <is>
          <t>2025-12-12T09:24:00Z</t>
        </is>
      </c>
      <c r="C19" t="inlineStr">
        <is>
          <t>BUY</t>
        </is>
      </c>
      <c r="D19" t="n">
        <v>0.00620282</v>
      </c>
      <c r="E19" t="n">
        <v>97922.00999999999</v>
      </c>
      <c r="F19" t="n">
        <v>0.61</v>
      </c>
      <c r="G19">
        <f>D19*E19</f>
        <v/>
      </c>
      <c r="H19">
        <f>IF(C19="BUY",H18+D19,H18-D19)</f>
        <v/>
      </c>
      <c r="I19">
        <f>IF(C19="BUY",I18+G19+F19,IF(ROUND(H19,10)=0,0,I18-K19))</f>
        <v/>
      </c>
      <c r="J19">
        <f>IF(ROUND(H19,10)=0,0,I19/H19)</f>
        <v/>
      </c>
      <c r="K19">
        <f>IF(C19="SELL",J18*D19,0)</f>
        <v/>
      </c>
      <c r="L19">
        <f>IF(C19="SELL",G19-F19-K19,0)</f>
        <v/>
      </c>
    </row>
    <row r="20">
      <c r="A20" t="inlineStr">
        <is>
          <t>TRD-0086</t>
        </is>
      </c>
      <c r="B20" t="inlineStr">
        <is>
          <t>2025-12-15T22:17:00Z</t>
        </is>
      </c>
      <c r="C20" t="inlineStr">
        <is>
          <t>BUY</t>
        </is>
      </c>
      <c r="D20" t="n">
        <v>0.02055424</v>
      </c>
      <c r="E20" t="n">
        <v>96981.16</v>
      </c>
      <c r="F20" t="n">
        <v>11.96</v>
      </c>
      <c r="G20">
        <f>D20*E20</f>
        <v/>
      </c>
      <c r="H20">
        <f>IF(C20="BUY",H19+D20,H19-D20)</f>
        <v/>
      </c>
      <c r="I20">
        <f>IF(C20="BUY",I19+G20+F20,IF(ROUND(H20,10)=0,0,I19-K20))</f>
        <v/>
      </c>
      <c r="J20">
        <f>IF(ROUND(H20,10)=0,0,I20/H20)</f>
        <v/>
      </c>
      <c r="K20">
        <f>IF(C20="SELL",J19*D20,0)</f>
        <v/>
      </c>
      <c r="L20">
        <f>IF(C20="SELL",G20-F20-K20,0)</f>
        <v/>
      </c>
    </row>
    <row r="21">
      <c r="A21" t="inlineStr">
        <is>
          <t>TRD-0091</t>
        </is>
      </c>
      <c r="B21" t="inlineStr">
        <is>
          <t>2025-12-21T09:27:00Z</t>
        </is>
      </c>
      <c r="C21" t="inlineStr">
        <is>
          <t>BUY</t>
        </is>
      </c>
      <c r="D21" t="n">
        <v>0.00864094</v>
      </c>
      <c r="E21" t="n">
        <v>96253.11</v>
      </c>
      <c r="F21" t="n">
        <v>0.83</v>
      </c>
      <c r="G21">
        <f>D21*E21</f>
        <v/>
      </c>
      <c r="H21">
        <f>IF(C21="BUY",H20+D21,H20-D21)</f>
        <v/>
      </c>
      <c r="I21">
        <f>IF(C21="BUY",I20+G21+F21,IF(ROUND(H21,10)=0,0,I20-K21))</f>
        <v/>
      </c>
      <c r="J21">
        <f>IF(ROUND(H21,10)=0,0,I21/H21)</f>
        <v/>
      </c>
      <c r="K21">
        <f>IF(C21="SELL",J20*D21,0)</f>
        <v/>
      </c>
      <c r="L21">
        <f>IF(C21="SELL",G21-F21-K21,0)</f>
        <v/>
      </c>
    </row>
    <row r="22">
      <c r="A22" t="inlineStr">
        <is>
          <t>TRD-0096</t>
        </is>
      </c>
      <c r="B22" t="inlineStr">
        <is>
          <t>2025-12-24T22:25:00Z</t>
        </is>
      </c>
      <c r="C22" t="inlineStr">
        <is>
          <t>BUY</t>
        </is>
      </c>
      <c r="D22" t="n">
        <v>0.00740985</v>
      </c>
      <c r="E22" t="n">
        <v>96969.78999999999</v>
      </c>
      <c r="F22" t="n">
        <v>4.31</v>
      </c>
      <c r="G22">
        <f>D22*E22</f>
        <v/>
      </c>
      <c r="H22">
        <f>IF(C22="BUY",H21+D22,H21-D22)</f>
        <v/>
      </c>
      <c r="I22">
        <f>IF(C22="BUY",I21+G22+F22,IF(ROUND(H22,10)=0,0,I21-K22))</f>
        <v/>
      </c>
      <c r="J22">
        <f>IF(ROUND(H22,10)=0,0,I22/H22)</f>
        <v/>
      </c>
      <c r="K22">
        <f>IF(C22="SELL",J21*D22,0)</f>
        <v/>
      </c>
      <c r="L22">
        <f>IF(C22="SELL",G22-F22-K22,0)</f>
        <v/>
      </c>
    </row>
    <row r="23">
      <c r="A23" t="inlineStr">
        <is>
          <t>TRD-0101</t>
        </is>
      </c>
      <c r="B23" t="inlineStr">
        <is>
          <t>2025-12-30T09:30:00Z</t>
        </is>
      </c>
      <c r="C23" t="inlineStr">
        <is>
          <t>SELL</t>
        </is>
      </c>
      <c r="D23" t="n">
        <v>0.00682812</v>
      </c>
      <c r="E23" t="n">
        <v>98478.03</v>
      </c>
      <c r="F23" t="n">
        <v>0.67</v>
      </c>
      <c r="G23">
        <f>D23*E23</f>
        <v/>
      </c>
      <c r="H23">
        <f>IF(C23="BUY",H22+D23,H22-D23)</f>
        <v/>
      </c>
      <c r="I23">
        <f>IF(C23="BUY",I22+G23+F23,IF(ROUND(H23,10)=0,0,I22-K23))</f>
        <v/>
      </c>
      <c r="J23">
        <f>IF(ROUND(H23,10)=0,0,I23/H23)</f>
        <v/>
      </c>
      <c r="K23">
        <f>IF(C23="SELL",J22*D23,0)</f>
        <v/>
      </c>
      <c r="L23">
        <f>IF(C23="SELL",G23-F23-K23,0)</f>
        <v/>
      </c>
    </row>
    <row r="24">
      <c r="A24" t="inlineStr">
        <is>
          <t>TRD-0106</t>
        </is>
      </c>
      <c r="B24" t="inlineStr">
        <is>
          <t>2026-01-02T22:33:00Z</t>
        </is>
      </c>
      <c r="C24" t="inlineStr">
        <is>
          <t>SELL</t>
        </is>
      </c>
      <c r="D24" t="n">
        <v>0.01090599</v>
      </c>
      <c r="E24" t="n">
        <v>100214.72</v>
      </c>
      <c r="F24" t="n">
        <v>6.56</v>
      </c>
      <c r="G24">
        <f>D24*E24</f>
        <v/>
      </c>
      <c r="H24">
        <f>IF(C24="BUY",H23+D24,H23-D24)</f>
        <v/>
      </c>
      <c r="I24">
        <f>IF(C24="BUY",I23+G24+F24,IF(ROUND(H24,10)=0,0,I23-K24))</f>
        <v/>
      </c>
      <c r="J24">
        <f>IF(ROUND(H24,10)=0,0,I24/H24)</f>
        <v/>
      </c>
      <c r="K24">
        <f>IF(C24="SELL",J23*D24,0)</f>
        <v/>
      </c>
      <c r="L24">
        <f>IF(C24="SELL",G24-F24-K24,0)</f>
        <v/>
      </c>
    </row>
    <row r="25">
      <c r="A25" t="inlineStr">
        <is>
          <t>TRD-0111</t>
        </is>
      </c>
      <c r="B25" t="inlineStr">
        <is>
          <t>2026-01-08T09:33:00Z</t>
        </is>
      </c>
      <c r="C25" t="inlineStr">
        <is>
          <t>BUY</t>
        </is>
      </c>
      <c r="D25" t="n">
        <v>0.03999608</v>
      </c>
      <c r="E25" t="n">
        <v>102442.57</v>
      </c>
      <c r="F25" t="n">
        <v>4.1</v>
      </c>
      <c r="G25">
        <f>D25*E25</f>
        <v/>
      </c>
      <c r="H25">
        <f>IF(C25="BUY",H24+D25,H24-D25)</f>
        <v/>
      </c>
      <c r="I25">
        <f>IF(C25="BUY",I24+G25+F25,IF(ROUND(H25,10)=0,0,I24-K25))</f>
        <v/>
      </c>
      <c r="J25">
        <f>IF(ROUND(H25,10)=0,0,I25/H25)</f>
        <v/>
      </c>
      <c r="K25">
        <f>IF(C25="SELL",J24*D25,0)</f>
        <v/>
      </c>
      <c r="L25">
        <f>IF(C25="SELL",G25-F25-K25,0)</f>
        <v/>
      </c>
    </row>
    <row r="26">
      <c r="A26" t="inlineStr">
        <is>
          <t>TRD-0116</t>
        </is>
      </c>
      <c r="B26" t="inlineStr">
        <is>
          <t>2026-01-11T22:41:00Z</t>
        </is>
      </c>
      <c r="C26" t="inlineStr">
        <is>
          <t>BUY</t>
        </is>
      </c>
      <c r="D26" t="n">
        <v>0.02313868</v>
      </c>
      <c r="E26" t="n">
        <v>104128.35</v>
      </c>
      <c r="F26" t="n">
        <v>14.46</v>
      </c>
      <c r="G26">
        <f>D26*E26</f>
        <v/>
      </c>
      <c r="H26">
        <f>IF(C26="BUY",H25+D26,H25-D26)</f>
        <v/>
      </c>
      <c r="I26">
        <f>IF(C26="BUY",I25+G26+F26,IF(ROUND(H26,10)=0,0,I25-K26))</f>
        <v/>
      </c>
      <c r="J26">
        <f>IF(ROUND(H26,10)=0,0,I26/H26)</f>
        <v/>
      </c>
      <c r="K26">
        <f>IF(C26="SELL",J25*D26,0)</f>
        <v/>
      </c>
      <c r="L26">
        <f>IF(C26="SELL",G26-F26-K26,0)</f>
        <v/>
      </c>
    </row>
    <row r="27">
      <c r="A27" t="inlineStr">
        <is>
          <t>TRD-0121</t>
        </is>
      </c>
      <c r="B27" t="inlineStr">
        <is>
          <t>2026-01-17T09:36:00Z</t>
        </is>
      </c>
      <c r="C27" t="inlineStr">
        <is>
          <t>SELL</t>
        </is>
      </c>
      <c r="D27" t="n">
        <v>0.01440351</v>
      </c>
      <c r="E27" t="n">
        <v>105740.06</v>
      </c>
      <c r="F27" t="n">
        <v>1.52</v>
      </c>
      <c r="G27">
        <f>D27*E27</f>
        <v/>
      </c>
      <c r="H27">
        <f>IF(C27="BUY",H26+D27,H26-D27)</f>
        <v/>
      </c>
      <c r="I27">
        <f>IF(C27="BUY",I26+G27+F27,IF(ROUND(H27,10)=0,0,I26-K27))</f>
        <v/>
      </c>
      <c r="J27">
        <f>IF(ROUND(H27,10)=0,0,I27/H27)</f>
        <v/>
      </c>
      <c r="K27">
        <f>IF(C27="SELL",J26*D27,0)</f>
        <v/>
      </c>
      <c r="L27">
        <f>IF(C27="SELL",G27-F27-K27,0)</f>
        <v/>
      </c>
    </row>
    <row r="28">
      <c r="A28" t="inlineStr">
        <is>
          <t>TRD-0126</t>
        </is>
      </c>
      <c r="B28" t="inlineStr">
        <is>
          <t>2026-01-20T22:02:00Z</t>
        </is>
      </c>
      <c r="C28" t="inlineStr">
        <is>
          <t>SELL</t>
        </is>
      </c>
      <c r="D28" t="n">
        <v>0.02009839</v>
      </c>
      <c r="E28" t="n">
        <v>106893.81</v>
      </c>
      <c r="F28" t="n">
        <v>12.89</v>
      </c>
      <c r="G28">
        <f>D28*E28</f>
        <v/>
      </c>
      <c r="H28">
        <f>IF(C28="BUY",H27+D28,H27-D28)</f>
        <v/>
      </c>
      <c r="I28">
        <f>IF(C28="BUY",I27+G28+F28,IF(ROUND(H28,10)=0,0,I27-K28))</f>
        <v/>
      </c>
      <c r="J28">
        <f>IF(ROUND(H28,10)=0,0,I28/H28)</f>
        <v/>
      </c>
      <c r="K28">
        <f>IF(C28="SELL",J27*D28,0)</f>
        <v/>
      </c>
      <c r="L28">
        <f>IF(C28="SELL",G28-F28-K28,0)</f>
        <v/>
      </c>
    </row>
    <row r="29">
      <c r="A29" t="inlineStr">
        <is>
          <t>TRD-0131</t>
        </is>
      </c>
      <c r="B29" t="inlineStr">
        <is>
          <t>2026-01-26T09:39:00Z</t>
        </is>
      </c>
      <c r="C29" t="inlineStr">
        <is>
          <t>BUY</t>
        </is>
      </c>
      <c r="D29" t="n">
        <v>0.0077278</v>
      </c>
      <c r="E29" t="n">
        <v>107908.52</v>
      </c>
      <c r="F29" t="n">
        <v>0.83</v>
      </c>
      <c r="G29">
        <f>D29*E29</f>
        <v/>
      </c>
      <c r="H29">
        <f>IF(C29="BUY",H28+D29,H28-D29)</f>
        <v/>
      </c>
      <c r="I29">
        <f>IF(C29="BUY",I28+G29+F29,IF(ROUND(H29,10)=0,0,I28-K29))</f>
        <v/>
      </c>
      <c r="J29">
        <f>IF(ROUND(H29,10)=0,0,I29/H29)</f>
        <v/>
      </c>
      <c r="K29">
        <f>IF(C29="SELL",J28*D29,0)</f>
        <v/>
      </c>
      <c r="L29">
        <f>IF(C29="SELL",G29-F29-K29,0)</f>
        <v/>
      </c>
    </row>
    <row r="30">
      <c r="A30" t="inlineStr">
        <is>
          <t>TRD-0136</t>
        </is>
      </c>
      <c r="B30" t="inlineStr">
        <is>
          <t>2026-01-29T22:10:00Z</t>
        </is>
      </c>
      <c r="C30" t="inlineStr">
        <is>
          <t>BUY</t>
        </is>
      </c>
      <c r="D30" t="n">
        <v>0.01203704</v>
      </c>
      <c r="E30" t="n">
        <v>108963.51</v>
      </c>
      <c r="F30" t="n">
        <v>7.87</v>
      </c>
      <c r="G30">
        <f>D30*E30</f>
        <v/>
      </c>
      <c r="H30">
        <f>IF(C30="BUY",H29+D30,H29-D30)</f>
        <v/>
      </c>
      <c r="I30">
        <f>IF(C30="BUY",I29+G30+F30,IF(ROUND(H30,10)=0,0,I29-K30))</f>
        <v/>
      </c>
      <c r="J30">
        <f>IF(ROUND(H30,10)=0,0,I30/H30)</f>
        <v/>
      </c>
      <c r="K30">
        <f>IF(C30="SELL",J29*D30,0)</f>
        <v/>
      </c>
      <c r="L30">
        <f>IF(C30="SELL",G30-F30-K30,0)</f>
        <v/>
      </c>
    </row>
    <row r="31">
      <c r="A31" t="inlineStr">
        <is>
          <t>TRD-0141</t>
        </is>
      </c>
      <c r="B31" t="inlineStr">
        <is>
          <t>2026-02-04T09:42:00Z</t>
        </is>
      </c>
      <c r="C31" t="inlineStr">
        <is>
          <t>BUY</t>
        </is>
      </c>
      <c r="D31" t="n">
        <v>0.02035098</v>
      </c>
      <c r="E31" t="n">
        <v>110364.51</v>
      </c>
      <c r="F31" t="n">
        <v>2.25</v>
      </c>
      <c r="G31">
        <f>D31*E31</f>
        <v/>
      </c>
      <c r="H31">
        <f>IF(C31="BUY",H30+D31,H30-D31)</f>
        <v/>
      </c>
      <c r="I31">
        <f>IF(C31="BUY",I30+G31+F31,IF(ROUND(H31,10)=0,0,I30-K31))</f>
        <v/>
      </c>
      <c r="J31">
        <f>IF(ROUND(H31,10)=0,0,I31/H31)</f>
        <v/>
      </c>
      <c r="K31">
        <f>IF(C31="SELL",J30*D31,0)</f>
        <v/>
      </c>
      <c r="L31">
        <f>IF(C31="SELL",G31-F31-K31,0)</f>
        <v/>
      </c>
    </row>
    <row r="32">
      <c r="A32" t="inlineStr">
        <is>
          <t>TRD-0146</t>
        </is>
      </c>
      <c r="B32" t="inlineStr">
        <is>
          <t>2026-02-07T22:18:00Z</t>
        </is>
      </c>
      <c r="C32" t="inlineStr">
        <is>
          <t>BUY</t>
        </is>
      </c>
      <c r="D32" t="n">
        <v>0.01744065</v>
      </c>
      <c r="E32" t="n">
        <v>111942.91</v>
      </c>
      <c r="F32" t="n">
        <v>11.71</v>
      </c>
      <c r="G32">
        <f>D32*E32</f>
        <v/>
      </c>
      <c r="H32">
        <f>IF(C32="BUY",H31+D32,H31-D32)</f>
        <v/>
      </c>
      <c r="I32">
        <f>IF(C32="BUY",I31+G32+F32,IF(ROUND(H32,10)=0,0,I31-K32))</f>
        <v/>
      </c>
      <c r="J32">
        <f>IF(ROUND(H32,10)=0,0,I32/H32)</f>
        <v/>
      </c>
      <c r="K32">
        <f>IF(C32="SELL",J31*D32,0)</f>
        <v/>
      </c>
      <c r="L32">
        <f>IF(C32="SELL",G32-F32-K32,0)</f>
        <v/>
      </c>
    </row>
    <row r="33">
      <c r="A33" t="inlineStr">
        <is>
          <t>TRD-0151</t>
        </is>
      </c>
      <c r="B33" t="inlineStr">
        <is>
          <t>2026-02-13T09:45:00Z</t>
        </is>
      </c>
      <c r="C33" t="inlineStr">
        <is>
          <t>SELL</t>
        </is>
      </c>
      <c r="D33" t="n">
        <v>0.06168699</v>
      </c>
      <c r="E33" t="n">
        <v>114259.7</v>
      </c>
      <c r="F33" t="n">
        <v>7.05</v>
      </c>
      <c r="G33">
        <f>D33*E33</f>
        <v/>
      </c>
      <c r="H33">
        <f>IF(C33="BUY",H32+D33,H32-D33)</f>
        <v/>
      </c>
      <c r="I33">
        <f>IF(C33="BUY",I32+G33+F33,IF(ROUND(H33,10)=0,0,I32-K33))</f>
        <v/>
      </c>
      <c r="J33">
        <f>IF(ROUND(H33,10)=0,0,I33/H33)</f>
        <v/>
      </c>
      <c r="K33">
        <f>IF(C33="SELL",J32*D33,0)</f>
        <v/>
      </c>
      <c r="L33">
        <f>IF(C33="SELL",G33-F33-K33,0)</f>
        <v/>
      </c>
    </row>
    <row r="34">
      <c r="A34" t="inlineStr">
        <is>
          <t>TRD-0156</t>
        </is>
      </c>
      <c r="B34" t="inlineStr">
        <is>
          <t>2026-02-16T22:26:00Z</t>
        </is>
      </c>
      <c r="C34" t="inlineStr">
        <is>
          <t>SELL</t>
        </is>
      </c>
      <c r="D34" t="n">
        <v>0.04957608</v>
      </c>
      <c r="E34" t="n">
        <v>116265.58</v>
      </c>
      <c r="F34" t="n">
        <v>34.58</v>
      </c>
      <c r="G34">
        <f>D34*E34</f>
        <v/>
      </c>
      <c r="H34">
        <f>IF(C34="BUY",H33+D34,H33-D34)</f>
        <v/>
      </c>
      <c r="I34">
        <f>IF(C34="BUY",I33+G34+F34,IF(ROUND(H34,10)=0,0,I33-K34))</f>
        <v/>
      </c>
      <c r="J34">
        <f>IF(ROUND(H34,10)=0,0,I34/H34)</f>
        <v/>
      </c>
      <c r="K34">
        <f>IF(C34="SELL",J33*D34,0)</f>
        <v/>
      </c>
      <c r="L34">
        <f>IF(C34="SELL",G34-F34-K34,0)</f>
        <v/>
      </c>
    </row>
    <row r="35">
      <c r="A35" t="inlineStr">
        <is>
          <t>TRD-0161</t>
        </is>
      </c>
      <c r="B35" t="inlineStr">
        <is>
          <t>2026-02-22T09:01:00Z</t>
        </is>
      </c>
      <c r="C35" t="inlineStr">
        <is>
          <t>BUY</t>
        </is>
      </c>
      <c r="D35" t="n">
        <v>0.02473909</v>
      </c>
      <c r="E35" t="n">
        <v>118588.06</v>
      </c>
      <c r="F35" t="n">
        <v>2.93</v>
      </c>
      <c r="G35">
        <f>D35*E35</f>
        <v/>
      </c>
      <c r="H35">
        <f>IF(C35="BUY",H34+D35,H34-D35)</f>
        <v/>
      </c>
      <c r="I35">
        <f>IF(C35="BUY",I34+G35+F35,IF(ROUND(H35,10)=0,0,I34-K35))</f>
        <v/>
      </c>
      <c r="J35">
        <f>IF(ROUND(H35,10)=0,0,I35/H35)</f>
        <v/>
      </c>
      <c r="K35">
        <f>IF(C35="SELL",J34*D35,0)</f>
        <v/>
      </c>
      <c r="L35">
        <f>IF(C35="SELL",G35-F35-K35,0)</f>
        <v/>
      </c>
    </row>
    <row r="36">
      <c r="A36" t="inlineStr">
        <is>
          <t>TRD-0166</t>
        </is>
      </c>
      <c r="B36" t="inlineStr">
        <is>
          <t>2026-02-25T22:34:00Z</t>
        </is>
      </c>
      <c r="C36" t="inlineStr">
        <is>
          <t>BUY</t>
        </is>
      </c>
      <c r="D36" t="n">
        <v>0.03517559</v>
      </c>
      <c r="E36" t="n">
        <v>120073.54</v>
      </c>
      <c r="F36" t="n">
        <v>25.34</v>
      </c>
      <c r="G36">
        <f>D36*E36</f>
        <v/>
      </c>
      <c r="H36">
        <f>IF(C36="BUY",H35+D36,H35-D36)</f>
        <v/>
      </c>
      <c r="I36">
        <f>IF(C36="BUY",I35+G36+F36,IF(ROUND(H36,10)=0,0,I35-K36))</f>
        <v/>
      </c>
      <c r="J36">
        <f>IF(ROUND(H36,10)=0,0,I36/H36)</f>
        <v/>
      </c>
      <c r="K36">
        <f>IF(C36="SELL",J35*D36,0)</f>
        <v/>
      </c>
      <c r="L36">
        <f>IF(C36="SELL",G36-F36-K36,0)</f>
        <v/>
      </c>
    </row>
    <row r="37">
      <c r="A37" t="inlineStr">
        <is>
          <t>TRD-0171</t>
        </is>
      </c>
      <c r="B37" t="inlineStr">
        <is>
          <t>2026-03-03T09:04:00Z</t>
        </is>
      </c>
      <c r="C37" t="inlineStr">
        <is>
          <t>BUY</t>
        </is>
      </c>
      <c r="D37" t="n">
        <v>0.01582702</v>
      </c>
      <c r="E37" t="n">
        <v>120710.4</v>
      </c>
      <c r="F37" t="n">
        <v>1.91</v>
      </c>
      <c r="G37">
        <f>D37*E37</f>
        <v/>
      </c>
      <c r="H37">
        <f>IF(C37="BUY",H36+D37,H36-D37)</f>
        <v/>
      </c>
      <c r="I37">
        <f>IF(C37="BUY",I36+G37+F37,IF(ROUND(H37,10)=0,0,I36-K37))</f>
        <v/>
      </c>
      <c r="J37">
        <f>IF(ROUND(H37,10)=0,0,I37/H37)</f>
        <v/>
      </c>
      <c r="K37">
        <f>IF(C37="SELL",J36*D37,0)</f>
        <v/>
      </c>
      <c r="L37">
        <f>IF(C37="SELL",G37-F37-K37,0)</f>
        <v/>
      </c>
    </row>
    <row r="38">
      <c r="A38" t="inlineStr">
        <is>
          <t>TRD-0176</t>
        </is>
      </c>
      <c r="B38" t="inlineStr">
        <is>
          <t>2026-03-06T22:42:00Z</t>
        </is>
      </c>
      <c r="C38" t="inlineStr">
        <is>
          <t>BUY</t>
        </is>
      </c>
      <c r="D38" t="n">
        <v>0.0317721</v>
      </c>
      <c r="E38" t="n">
        <v>120653.37</v>
      </c>
      <c r="F38" t="n">
        <v>23</v>
      </c>
      <c r="G38">
        <f>D38*E38</f>
        <v/>
      </c>
      <c r="H38">
        <f>IF(C38="BUY",H37+D38,H37-D38)</f>
        <v/>
      </c>
      <c r="I38">
        <f>IF(C38="BUY",I37+G38+F38,IF(ROUND(H38,10)=0,0,I37-K38))</f>
        <v/>
      </c>
      <c r="J38">
        <f>IF(ROUND(H38,10)=0,0,I38/H38)</f>
        <v/>
      </c>
      <c r="K38">
        <f>IF(C38="SELL",J37*D38,0)</f>
        <v/>
      </c>
      <c r="L38">
        <f>IF(C38="SELL",G38-F38-K38,0)</f>
        <v/>
      </c>
    </row>
    <row r="39">
      <c r="A39" t="inlineStr">
        <is>
          <t>TRD-0181</t>
        </is>
      </c>
      <c r="B39" t="inlineStr">
        <is>
          <t>2026-03-12T09:07:00Z</t>
        </is>
      </c>
      <c r="C39" t="inlineStr">
        <is>
          <t>SELL</t>
        </is>
      </c>
      <c r="D39" t="n">
        <v>0.02190569</v>
      </c>
      <c r="E39" t="n">
        <v>118687.85</v>
      </c>
      <c r="F39" t="n">
        <v>2.6</v>
      </c>
      <c r="G39">
        <f>D39*E39</f>
        <v/>
      </c>
      <c r="H39">
        <f>IF(C39="BUY",H38+D39,H38-D39)</f>
        <v/>
      </c>
      <c r="I39">
        <f>IF(C39="BUY",I38+G39+F39,IF(ROUND(H39,10)=0,0,I38-K39))</f>
        <v/>
      </c>
      <c r="J39">
        <f>IF(ROUND(H39,10)=0,0,I39/H39)</f>
        <v/>
      </c>
      <c r="K39">
        <f>IF(C39="SELL",J38*D39,0)</f>
        <v/>
      </c>
      <c r="L39">
        <f>IF(C39="SELL",G39-F39-K39,0)</f>
        <v/>
      </c>
    </row>
    <row r="40">
      <c r="A40" t="inlineStr">
        <is>
          <t>TRD-0186</t>
        </is>
      </c>
      <c r="B40" t="inlineStr">
        <is>
          <t>2026-03-15T22:03:00Z</t>
        </is>
      </c>
      <c r="C40" t="inlineStr">
        <is>
          <t>SELL</t>
        </is>
      </c>
      <c r="D40" t="n">
        <v>0.03481279</v>
      </c>
      <c r="E40" t="n">
        <v>117069.52</v>
      </c>
      <c r="F40" t="n">
        <v>24.45</v>
      </c>
      <c r="G40">
        <f>D40*E40</f>
        <v/>
      </c>
      <c r="H40">
        <f>IF(C40="BUY",H39+D40,H39-D40)</f>
        <v/>
      </c>
      <c r="I40">
        <f>IF(C40="BUY",I39+G40+F40,IF(ROUND(H40,10)=0,0,I39-K40))</f>
        <v/>
      </c>
      <c r="J40">
        <f>IF(ROUND(H40,10)=0,0,I40/H40)</f>
        <v/>
      </c>
      <c r="K40">
        <f>IF(C40="SELL",J39*D40,0)</f>
        <v/>
      </c>
      <c r="L40">
        <f>IF(C40="SELL",G40-F40-K40,0)</f>
        <v/>
      </c>
    </row>
    <row r="41">
      <c r="A41" t="inlineStr">
        <is>
          <t>TRD-0191</t>
        </is>
      </c>
      <c r="B41" t="inlineStr">
        <is>
          <t>2026-03-21T09:10:00Z</t>
        </is>
      </c>
      <c r="C41" t="inlineStr">
        <is>
          <t>BUY</t>
        </is>
      </c>
      <c r="D41" t="n">
        <v>0.008461679999999999</v>
      </c>
      <c r="E41" t="n">
        <v>113362.46</v>
      </c>
      <c r="F41" t="n">
        <v>0.96</v>
      </c>
      <c r="G41">
        <f>D41*E41</f>
        <v/>
      </c>
      <c r="H41">
        <f>IF(C41="BUY",H40+D41,H40-D41)</f>
        <v/>
      </c>
      <c r="I41">
        <f>IF(C41="BUY",I40+G41+F41,IF(ROUND(H41,10)=0,0,I40-K41))</f>
        <v/>
      </c>
      <c r="J41">
        <f>IF(ROUND(H41,10)=0,0,I41/H41)</f>
        <v/>
      </c>
      <c r="K41">
        <f>IF(C41="SELL",J40*D41,0)</f>
        <v/>
      </c>
      <c r="L41">
        <f>IF(C41="SELL",G41-F41-K41,0)</f>
        <v/>
      </c>
    </row>
    <row r="42">
      <c r="A42" t="inlineStr">
        <is>
          <t>TRD-0196</t>
        </is>
      </c>
      <c r="B42" t="inlineStr">
        <is>
          <t>2026-03-24T22:11:00Z</t>
        </is>
      </c>
      <c r="C42" t="inlineStr">
        <is>
          <t>BUY</t>
        </is>
      </c>
      <c r="D42" t="n">
        <v>0.0181722</v>
      </c>
      <c r="E42" t="n">
        <v>111247.34</v>
      </c>
      <c r="F42" t="n">
        <v>12.13</v>
      </c>
      <c r="G42">
        <f>D42*E42</f>
        <v/>
      </c>
      <c r="H42">
        <f>IF(C42="BUY",H41+D42,H41-D42)</f>
        <v/>
      </c>
      <c r="I42">
        <f>IF(C42="BUY",I41+G42+F42,IF(ROUND(H42,10)=0,0,I41-K42))</f>
        <v/>
      </c>
      <c r="J42">
        <f>IF(ROUND(H42,10)=0,0,I42/H42)</f>
        <v/>
      </c>
      <c r="K42">
        <f>IF(C42="SELL",J41*D42,0)</f>
        <v/>
      </c>
      <c r="L42">
        <f>IF(C42="SELL",G42-F42-K42,0)</f>
        <v/>
      </c>
    </row>
    <row r="44">
      <c r="A44" s="1" t="inlineStr">
        <is>
          <t>Quantity held</t>
        </is>
      </c>
      <c r="B44">
        <f>H42</f>
        <v/>
      </c>
    </row>
    <row r="45">
      <c r="A45" s="1" t="inlineStr">
        <is>
          <t>Cost basis</t>
        </is>
      </c>
      <c r="B45">
        <f>I42</f>
        <v/>
      </c>
    </row>
    <row r="46">
      <c r="A46" s="1" t="inlineStr">
        <is>
          <t>Avg cost</t>
        </is>
      </c>
      <c r="B46">
        <f>J42</f>
        <v/>
      </c>
    </row>
    <row r="47">
      <c r="A47" s="1" t="inlineStr">
        <is>
          <t>Current price</t>
        </is>
      </c>
      <c r="B47" t="n">
        <v>111500</v>
      </c>
    </row>
    <row r="48">
      <c r="A48" s="1" t="inlineStr">
        <is>
          <t>Current value</t>
        </is>
      </c>
      <c r="B48">
        <f>B44*B47</f>
        <v/>
      </c>
    </row>
    <row r="49">
      <c r="A49" s="1" t="inlineStr">
        <is>
          <t>Realized P&amp;L</t>
        </is>
      </c>
      <c r="B49">
        <f>SUM(L3:L42)</f>
        <v/>
      </c>
    </row>
    <row r="50">
      <c r="A50" s="1" t="inlineStr">
        <is>
          <t>Unrealized P&amp;L</t>
        </is>
      </c>
      <c r="B50">
        <f>B48-B45</f>
        <v/>
      </c>
    </row>
    <row r="51">
      <c r="A51" s="1" t="inlineStr">
        <is>
          <t>Total fees</t>
        </is>
      </c>
      <c r="B51">
        <f>SUM(F3:F42)</f>
        <v/>
      </c>
    </row>
    <row r="52">
      <c r="A52" s="1" t="inlineStr">
        <is>
          <t>Expected (app): qty 0.07742920, cost 9114.34, value 8633.36, realized -463.75, unrealized -480.98, fees 486.42</t>
        </is>
      </c>
      <c r="B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2026-10-13T14:11:36Z</dcterms:created>
  <dcterms:modified xmlns:dcterms="http://purl.org/dc/terms/" xmlns:xsi="http://www.w3.org/2001/XMLSchema-instance" xsi:type="dcterms:W3CDTF">2026-10-13T14:11:36Z</dcterms:modified>
</cp:coreProperties>
</file>